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mia\Downloads\"/>
    </mc:Choice>
  </mc:AlternateContent>
  <xr:revisionPtr revIDLastSave="0" documentId="13_ncr:1_{7C7D77C5-F467-4D83-BBB1-348569B4C6CD}" xr6:coauthVersionLast="47" xr6:coauthVersionMax="47" xr10:uidLastSave="{00000000-0000-0000-0000-000000000000}"/>
  <bookViews>
    <workbookView xWindow="-108" yWindow="-108" windowWidth="22320" windowHeight="13176" xr2:uid="{D64FC014-072E-4862-83BE-4A77B874CE33}"/>
  </bookViews>
  <sheets>
    <sheet name="BurndownCha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4" i="2" l="1"/>
  <c r="C54" i="2" l="1"/>
  <c r="D54" i="2" s="1"/>
  <c r="E54" i="2" s="1"/>
  <c r="F54" i="2" s="1"/>
  <c r="B55" i="2"/>
  <c r="C55" i="2" s="1"/>
  <c r="D55" i="2" s="1"/>
  <c r="E55" i="2" s="1"/>
  <c r="F55" i="2" s="1"/>
  <c r="G55" i="2" s="1"/>
  <c r="H55" i="2" s="1"/>
  <c r="I55" i="2" s="1"/>
  <c r="J55" i="2" s="1"/>
  <c r="G54" i="2" l="1"/>
  <c r="H54" i="2" s="1"/>
  <c r="I54" i="2" s="1"/>
  <c r="J54" i="2" s="1"/>
</calcChain>
</file>

<file path=xl/sharedStrings.xml><?xml version="1.0" encoding="utf-8"?>
<sst xmlns="http://schemas.openxmlformats.org/spreadsheetml/2006/main" count="85" uniqueCount="64">
  <si>
    <t>Taak</t>
  </si>
  <si>
    <t>Punten</t>
  </si>
  <si>
    <t>geschat</t>
  </si>
  <si>
    <t>Nog doen</t>
  </si>
  <si>
    <t>wk17</t>
  </si>
  <si>
    <t>wk20</t>
  </si>
  <si>
    <t>wk21</t>
  </si>
  <si>
    <t>wk22</t>
  </si>
  <si>
    <t>wk23</t>
  </si>
  <si>
    <t>wk24</t>
  </si>
  <si>
    <t>wk25</t>
  </si>
  <si>
    <t>DoD</t>
  </si>
  <si>
    <t>Burndown</t>
  </si>
  <si>
    <t>Repository maken</t>
  </si>
  <si>
    <t>US 5</t>
  </si>
  <si>
    <t>US 7</t>
  </si>
  <si>
    <t>US 8</t>
  </si>
  <si>
    <t>US 9</t>
  </si>
  <si>
    <t>US 11</t>
  </si>
  <si>
    <t>US 12</t>
  </si>
  <si>
    <t>US 13</t>
  </si>
  <si>
    <t>ERD</t>
  </si>
  <si>
    <t>Database vullen</t>
  </si>
  <si>
    <t>Query maken</t>
  </si>
  <si>
    <t>x</t>
  </si>
  <si>
    <t>Usecase diagram</t>
  </si>
  <si>
    <t>Sprint 1</t>
  </si>
  <si>
    <t>Sprint 2</t>
  </si>
  <si>
    <t>Sprint 3</t>
  </si>
  <si>
    <t>Sprint 4</t>
  </si>
  <si>
    <t>Sprint 5</t>
  </si>
  <si>
    <t>Sprint 6</t>
  </si>
  <si>
    <t>Sprint 7</t>
  </si>
  <si>
    <t>Sprint 0</t>
  </si>
  <si>
    <t>US 15</t>
  </si>
  <si>
    <t>wk26</t>
  </si>
  <si>
    <t>zoeken klantnaam</t>
  </si>
  <si>
    <t>Acceptatietestten</t>
  </si>
  <si>
    <t>Unittestten</t>
  </si>
  <si>
    <t>Classdiagram</t>
  </si>
  <si>
    <t>Klantgegevens UPDATE</t>
  </si>
  <si>
    <t>Klant  DELETE</t>
  </si>
  <si>
    <t>Artikel TONEN</t>
  </si>
  <si>
    <t>kl</t>
  </si>
  <si>
    <t>Artikel INSERT</t>
  </si>
  <si>
    <t>Artikel UPDATE</t>
  </si>
  <si>
    <t>Artikel DELETE</t>
  </si>
  <si>
    <t>Verkooporder TONEN</t>
  </si>
  <si>
    <t>Verkooporder INSERT</t>
  </si>
  <si>
    <t>Verkooporder UPDATE</t>
  </si>
  <si>
    <t>Verkooporder DELETE</t>
  </si>
  <si>
    <t>Orderstatus (bijwerken)</t>
  </si>
  <si>
    <t>Dynamisch menu maken</t>
  </si>
  <si>
    <t>Unittesten</t>
  </si>
  <si>
    <t>Insert klant</t>
  </si>
  <si>
    <t>US 1 Database maken</t>
  </si>
  <si>
    <t>US 2 Klant toevoegen</t>
  </si>
  <si>
    <t>US 3 Klant CRUD</t>
  </si>
  <si>
    <t>Coderen</t>
  </si>
  <si>
    <t xml:space="preserve">US 4 </t>
  </si>
  <si>
    <t>US 6 artikel CRUD</t>
  </si>
  <si>
    <t>US 10 Verkooporder CRUD</t>
  </si>
  <si>
    <t>US 14 Orderstatus</t>
  </si>
  <si>
    <t>wireframe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</si>
</sst>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6" fontId="0" fillId="2" borderId="3" xfId="0" applyNumberForma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3" borderId="6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c:rich>
      </c:tx>
      <c:layout>
        <c:manualLayout>
          <c:xMode val="edge"/>
          <c:yMode val="edge"/>
          <c:x val="2.3430446194225692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4.2371197624201357E-2"/>
          <c:y val="0.15637007874015746"/>
          <c:w val="0.93815115740014565"/>
          <c:h val="0.67086237589866471"/>
        </c:manualLayout>
      </c:layout>
      <c:lineChart>
        <c:grouping val="standard"/>
        <c:varyColors val="0"/>
        <c:ser>
          <c:idx val="0"/>
          <c:order val="0"/>
          <c:tx>
            <c:strRef>
              <c:f>BurndownChart!$A$54</c:f>
              <c:strCache>
                <c:ptCount val="1"/>
                <c:pt idx="0">
                  <c:v>Nog doen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BurndownChart!$B$54:$J$54</c:f>
              <c:numCache>
                <c:formatCode>General</c:formatCode>
                <c:ptCount val="9"/>
                <c:pt idx="0">
                  <c:v>66</c:v>
                </c:pt>
                <c:pt idx="1">
                  <c:v>63</c:v>
                </c:pt>
                <c:pt idx="2">
                  <c:v>56</c:v>
                </c:pt>
                <c:pt idx="3">
                  <c:v>52</c:v>
                </c:pt>
                <c:pt idx="4">
                  <c:v>43</c:v>
                </c:pt>
                <c:pt idx="5">
                  <c:v>35</c:v>
                </c:pt>
                <c:pt idx="6">
                  <c:v>29</c:v>
                </c:pt>
                <c:pt idx="7">
                  <c:v>21</c:v>
                </c:pt>
                <c:pt idx="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4-4C70-8A04-07BB47C2E1E4}"/>
            </c:ext>
          </c:extLst>
        </c:ser>
        <c:ser>
          <c:idx val="1"/>
          <c:order val="1"/>
          <c:tx>
            <c:strRef>
              <c:f>BurndownChart!$A$55</c:f>
              <c:strCache>
                <c:ptCount val="1"/>
                <c:pt idx="0">
                  <c:v>kl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BurndownChart!$B$55:$J$55</c:f>
              <c:numCache>
                <c:formatCode>0</c:formatCode>
                <c:ptCount val="9"/>
                <c:pt idx="0" formatCode="General">
                  <c:v>66</c:v>
                </c:pt>
                <c:pt idx="1">
                  <c:v>57.75</c:v>
                </c:pt>
                <c:pt idx="2">
                  <c:v>49.5</c:v>
                </c:pt>
                <c:pt idx="3">
                  <c:v>41.25</c:v>
                </c:pt>
                <c:pt idx="4">
                  <c:v>33</c:v>
                </c:pt>
                <c:pt idx="5">
                  <c:v>24.75</c:v>
                </c:pt>
                <c:pt idx="6">
                  <c:v>16.5</c:v>
                </c:pt>
                <c:pt idx="7">
                  <c:v>8.25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4-4C70-8A04-07BB47C2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68960"/>
        <c:axId val="1542067040"/>
      </c:lineChart>
      <c:catAx>
        <c:axId val="1542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7040"/>
        <c:crosses val="autoZero"/>
        <c:auto val="1"/>
        <c:lblAlgn val="ctr"/>
        <c:lblOffset val="100"/>
        <c:noMultiLvlLbl val="0"/>
      </c:catAx>
      <c:valAx>
        <c:axId val="1542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429636920384949"/>
          <c:y val="3.7453703703703718E-2"/>
          <c:w val="0.32413693368829788"/>
          <c:h val="5.09053336658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598161</xdr:colOff>
      <xdr:row>4</xdr:row>
      <xdr:rowOff>174433</xdr:rowOff>
    </xdr:from>
    <xdr:to>
      <xdr:col>19</xdr:col>
      <xdr:colOff>264786</xdr:colOff>
      <xdr:row>57</xdr:row>
      <xdr:rowOff>140388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58A90C-63B0-F0A9-4840-54D8BB2E3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70B0-2E68-477D-80A9-FF8E7DC32F40}">
  <dimension ref="A1:J55"/>
  <sheetViews>
    <sheetView tabSelected="1" topLeftCell="A28" zoomScale="83" zoomScaleNormal="100" workbookViewId="0">
      <selection activeCell="C49" sqref="C49"/>
    </sheetView>
  </sheetViews>
  <sheetFormatPr defaultRowHeight="14.4" x14ac:dyDescent="0.3"/>
  <cols>
    <col min="1" max="1" width="19" bestFit="1" customWidth="1"/>
    <col min="3" max="10" width="8.6640625" customWidth="1"/>
    <col min="11" max="11" width="11.21875" bestFit="1" customWidth="1"/>
  </cols>
  <sheetData>
    <row r="1" spans="1:10" x14ac:dyDescent="0.3">
      <c r="A1" s="11"/>
      <c r="B1" s="12" t="s">
        <v>1</v>
      </c>
      <c r="C1" s="13" t="s">
        <v>33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31</v>
      </c>
      <c r="J1" s="13" t="s">
        <v>32</v>
      </c>
    </row>
    <row r="2" spans="1:10" x14ac:dyDescent="0.3">
      <c r="A2" s="14" t="s">
        <v>0</v>
      </c>
      <c r="B2" s="3" t="s">
        <v>2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35</v>
      </c>
    </row>
    <row r="3" spans="1:10" x14ac:dyDescent="0.3">
      <c r="A3" s="15" t="s">
        <v>11</v>
      </c>
      <c r="B3" s="1">
        <v>2</v>
      </c>
      <c r="C3" s="2" t="s">
        <v>24</v>
      </c>
      <c r="D3" s="2"/>
      <c r="E3" s="2"/>
      <c r="F3" s="2"/>
      <c r="G3" s="2"/>
      <c r="H3" s="2"/>
      <c r="I3" s="2"/>
      <c r="J3" s="16"/>
    </row>
    <row r="4" spans="1:10" x14ac:dyDescent="0.3">
      <c r="A4" s="15" t="s">
        <v>25</v>
      </c>
      <c r="B4" s="1">
        <v>2</v>
      </c>
      <c r="C4" s="2" t="s">
        <v>24</v>
      </c>
      <c r="D4" s="2"/>
      <c r="E4" s="2"/>
      <c r="F4" s="2"/>
      <c r="G4" s="2"/>
      <c r="H4" s="2"/>
      <c r="I4" s="2"/>
      <c r="J4" s="16"/>
    </row>
    <row r="5" spans="1:10" x14ac:dyDescent="0.3">
      <c r="A5" s="15" t="s">
        <v>12</v>
      </c>
      <c r="B5" s="1">
        <v>2</v>
      </c>
      <c r="C5" s="2">
        <v>2</v>
      </c>
      <c r="D5" s="2"/>
      <c r="E5" s="2"/>
      <c r="F5" s="2"/>
      <c r="G5" s="2"/>
      <c r="H5" s="2"/>
      <c r="I5" s="2"/>
      <c r="J5" s="16"/>
    </row>
    <row r="6" spans="1:10" x14ac:dyDescent="0.3">
      <c r="A6" s="15" t="s">
        <v>13</v>
      </c>
      <c r="B6" s="1">
        <v>1</v>
      </c>
      <c r="C6" s="2">
        <v>1</v>
      </c>
      <c r="D6" s="2"/>
      <c r="E6" s="2"/>
      <c r="F6" s="2"/>
      <c r="G6" s="2"/>
      <c r="H6" s="2"/>
      <c r="I6" s="2"/>
      <c r="J6" s="16"/>
    </row>
    <row r="7" spans="1:10" x14ac:dyDescent="0.3">
      <c r="A7" s="18" t="s">
        <v>55</v>
      </c>
      <c r="B7" s="1"/>
      <c r="C7" s="2"/>
      <c r="D7" s="2"/>
      <c r="E7" s="2"/>
      <c r="F7" s="2"/>
      <c r="G7" s="2"/>
      <c r="H7" s="2"/>
      <c r="I7" s="2"/>
      <c r="J7" s="16"/>
    </row>
    <row r="8" spans="1:10" x14ac:dyDescent="0.3">
      <c r="A8" s="17" t="s">
        <v>21</v>
      </c>
      <c r="B8" s="1">
        <v>3</v>
      </c>
      <c r="C8" s="2"/>
      <c r="D8" s="2">
        <v>3</v>
      </c>
      <c r="E8" s="2"/>
      <c r="F8" s="2"/>
      <c r="G8" s="2"/>
      <c r="H8" s="2"/>
      <c r="I8" s="2"/>
      <c r="J8" s="16"/>
    </row>
    <row r="9" spans="1:10" x14ac:dyDescent="0.3">
      <c r="A9" s="17" t="s">
        <v>22</v>
      </c>
      <c r="B9" s="1">
        <v>2</v>
      </c>
      <c r="C9" s="2"/>
      <c r="D9" s="2">
        <v>2</v>
      </c>
      <c r="E9" s="2"/>
      <c r="F9" s="2"/>
      <c r="G9" s="2"/>
      <c r="H9" s="2"/>
      <c r="I9" s="2"/>
      <c r="J9" s="16"/>
    </row>
    <row r="10" spans="1:10" x14ac:dyDescent="0.3">
      <c r="A10" s="17" t="s">
        <v>23</v>
      </c>
      <c r="B10" s="1">
        <v>2</v>
      </c>
      <c r="C10" s="2"/>
      <c r="D10" s="2">
        <v>2</v>
      </c>
      <c r="E10" s="2"/>
      <c r="F10" s="2"/>
      <c r="G10" s="2"/>
      <c r="H10" s="2"/>
      <c r="I10" s="2"/>
      <c r="J10" s="16"/>
    </row>
    <row r="11" spans="1:10" x14ac:dyDescent="0.3">
      <c r="A11" s="18" t="s">
        <v>56</v>
      </c>
      <c r="B11" s="1"/>
      <c r="C11" s="2"/>
      <c r="D11" s="2"/>
      <c r="E11" s="2"/>
      <c r="F11" s="2"/>
      <c r="G11" s="2"/>
      <c r="H11" s="2"/>
      <c r="I11" s="2"/>
      <c r="J11" s="16"/>
    </row>
    <row r="12" spans="1:10" x14ac:dyDescent="0.3">
      <c r="A12" s="17" t="s">
        <v>54</v>
      </c>
      <c r="B12" s="1">
        <v>1</v>
      </c>
      <c r="C12" s="2"/>
      <c r="D12" s="2"/>
      <c r="E12" s="2">
        <v>1</v>
      </c>
      <c r="F12" s="2"/>
      <c r="G12" s="2"/>
      <c r="H12" s="2"/>
      <c r="I12" s="2"/>
      <c r="J12" s="16"/>
    </row>
    <row r="13" spans="1:10" x14ac:dyDescent="0.3">
      <c r="A13" s="17" t="s">
        <v>37</v>
      </c>
      <c r="B13" s="1">
        <v>1</v>
      </c>
      <c r="C13" s="2"/>
      <c r="D13" s="2"/>
      <c r="E13" s="2" t="s">
        <v>24</v>
      </c>
      <c r="F13" s="2"/>
      <c r="G13" s="2"/>
      <c r="H13" s="2"/>
      <c r="I13" s="2"/>
      <c r="J13" s="16"/>
    </row>
    <row r="14" spans="1:10" x14ac:dyDescent="0.3">
      <c r="A14" s="17" t="s">
        <v>53</v>
      </c>
      <c r="B14" s="1">
        <v>2</v>
      </c>
      <c r="C14" s="2"/>
      <c r="D14" s="2"/>
      <c r="E14" s="2" t="s">
        <v>24</v>
      </c>
      <c r="F14" s="2"/>
      <c r="G14" s="2"/>
      <c r="H14" s="2"/>
      <c r="I14" s="2"/>
      <c r="J14" s="16"/>
    </row>
    <row r="15" spans="1:10" x14ac:dyDescent="0.3">
      <c r="A15" s="17" t="s">
        <v>58</v>
      </c>
      <c r="B15" s="1">
        <v>3</v>
      </c>
      <c r="C15" s="2"/>
      <c r="D15" s="2"/>
      <c r="E15" s="2">
        <v>3</v>
      </c>
      <c r="F15" s="2"/>
      <c r="G15" s="2"/>
      <c r="H15" s="2"/>
      <c r="I15" s="2"/>
      <c r="J15" s="16"/>
    </row>
    <row r="16" spans="1:10" x14ac:dyDescent="0.3">
      <c r="A16" s="18" t="s">
        <v>57</v>
      </c>
      <c r="B16" s="1"/>
      <c r="C16" s="2"/>
      <c r="D16" s="2"/>
      <c r="E16" s="2"/>
      <c r="F16" s="2"/>
      <c r="G16" s="2"/>
      <c r="H16" s="2"/>
      <c r="I16" s="2"/>
      <c r="J16" s="16"/>
    </row>
    <row r="17" spans="1:10" ht="16.2" customHeight="1" x14ac:dyDescent="0.3">
      <c r="A17" s="17" t="s">
        <v>36</v>
      </c>
      <c r="B17" s="1">
        <v>2</v>
      </c>
      <c r="C17" s="2"/>
      <c r="D17" s="2"/>
      <c r="E17" s="2"/>
      <c r="F17" s="2">
        <v>2</v>
      </c>
      <c r="G17" s="2"/>
      <c r="H17" s="2"/>
      <c r="I17" s="2"/>
      <c r="J17" s="16"/>
    </row>
    <row r="18" spans="1:10" x14ac:dyDescent="0.3">
      <c r="A18" s="17" t="s">
        <v>37</v>
      </c>
      <c r="B18" s="1">
        <v>1</v>
      </c>
      <c r="C18" s="2"/>
      <c r="D18" s="2"/>
      <c r="E18" s="2"/>
      <c r="F18" s="2" t="s">
        <v>24</v>
      </c>
      <c r="G18" s="2"/>
      <c r="H18" s="2"/>
      <c r="I18" s="2"/>
      <c r="J18" s="16"/>
    </row>
    <row r="19" spans="1:10" x14ac:dyDescent="0.3">
      <c r="A19" s="17" t="s">
        <v>38</v>
      </c>
      <c r="B19" s="1">
        <v>2</v>
      </c>
      <c r="C19" s="2"/>
      <c r="D19" s="2"/>
      <c r="E19" s="2"/>
      <c r="F19" s="2" t="s">
        <v>24</v>
      </c>
      <c r="G19" s="2"/>
      <c r="H19" s="2"/>
      <c r="I19" s="2"/>
      <c r="J19" s="16"/>
    </row>
    <row r="20" spans="1:10" x14ac:dyDescent="0.3">
      <c r="A20" s="17" t="s">
        <v>39</v>
      </c>
      <c r="B20" s="1">
        <v>1</v>
      </c>
      <c r="C20" s="2"/>
      <c r="D20" s="2"/>
      <c r="E20" s="2"/>
      <c r="F20" s="2" t="s">
        <v>24</v>
      </c>
      <c r="H20" s="2"/>
      <c r="I20" s="2"/>
      <c r="J20" s="16"/>
    </row>
    <row r="21" spans="1:10" x14ac:dyDescent="0.3">
      <c r="A21" s="17" t="s">
        <v>58</v>
      </c>
      <c r="B21" s="1">
        <v>3</v>
      </c>
      <c r="C21" s="2"/>
      <c r="D21" s="2"/>
      <c r="E21" s="2"/>
      <c r="F21" s="2">
        <v>3</v>
      </c>
      <c r="H21" s="2"/>
      <c r="I21" s="2"/>
      <c r="J21" s="16"/>
    </row>
    <row r="22" spans="1:10" x14ac:dyDescent="0.3">
      <c r="A22" s="18" t="s">
        <v>59</v>
      </c>
      <c r="B22" s="1"/>
      <c r="C22" s="2"/>
      <c r="D22" s="2"/>
      <c r="E22" s="2"/>
      <c r="F22" s="2"/>
      <c r="G22" s="2"/>
      <c r="H22" s="2"/>
      <c r="I22" s="2"/>
      <c r="J22" s="16"/>
    </row>
    <row r="23" spans="1:10" x14ac:dyDescent="0.3">
      <c r="A23" s="17" t="s">
        <v>40</v>
      </c>
      <c r="B23" s="1">
        <v>2</v>
      </c>
      <c r="C23" s="2"/>
      <c r="D23" s="2"/>
      <c r="E23" s="2"/>
      <c r="F23" s="2">
        <v>2</v>
      </c>
      <c r="G23" s="2"/>
      <c r="H23" s="2"/>
      <c r="I23" s="2"/>
      <c r="J23" s="16"/>
    </row>
    <row r="24" spans="1:10" x14ac:dyDescent="0.3">
      <c r="A24" s="18" t="s">
        <v>14</v>
      </c>
      <c r="B24" s="1"/>
      <c r="C24" s="2"/>
      <c r="D24" s="2"/>
      <c r="E24" s="2"/>
      <c r="F24" s="2"/>
      <c r="G24" s="2"/>
      <c r="H24" s="2"/>
      <c r="I24" s="2"/>
      <c r="J24" s="16"/>
    </row>
    <row r="25" spans="1:10" x14ac:dyDescent="0.3">
      <c r="A25" s="17" t="s">
        <v>41</v>
      </c>
      <c r="B25" s="1">
        <v>2</v>
      </c>
      <c r="C25" s="2"/>
      <c r="D25" s="2"/>
      <c r="E25" s="2"/>
      <c r="F25" s="2">
        <v>2</v>
      </c>
      <c r="H25" s="2"/>
      <c r="I25" s="2"/>
      <c r="J25" s="16"/>
    </row>
    <row r="26" spans="1:10" x14ac:dyDescent="0.3">
      <c r="A26" s="18" t="s">
        <v>60</v>
      </c>
      <c r="B26" s="1"/>
      <c r="C26" s="2"/>
      <c r="D26" s="2"/>
      <c r="E26" s="2"/>
      <c r="F26" s="2"/>
      <c r="G26" s="2"/>
      <c r="H26" s="2"/>
      <c r="I26" s="2"/>
      <c r="J26" s="16"/>
    </row>
    <row r="27" spans="1:10" x14ac:dyDescent="0.3">
      <c r="A27" s="17" t="s">
        <v>42</v>
      </c>
      <c r="B27" s="1">
        <v>2</v>
      </c>
      <c r="C27" s="2"/>
      <c r="D27" s="2"/>
      <c r="E27" s="2"/>
      <c r="G27" s="2">
        <v>2</v>
      </c>
      <c r="H27" s="2"/>
      <c r="I27" s="2"/>
      <c r="J27" s="16"/>
    </row>
    <row r="28" spans="1:10" x14ac:dyDescent="0.3">
      <c r="A28" s="17" t="s">
        <v>37</v>
      </c>
      <c r="B28" s="1">
        <v>1</v>
      </c>
      <c r="C28" s="2"/>
      <c r="D28" s="2"/>
      <c r="E28" s="2"/>
      <c r="G28" s="2" t="s">
        <v>24</v>
      </c>
      <c r="H28" s="2"/>
      <c r="I28" s="2"/>
      <c r="J28" s="16"/>
    </row>
    <row r="29" spans="1:10" x14ac:dyDescent="0.3">
      <c r="A29" s="17" t="s">
        <v>38</v>
      </c>
      <c r="B29" s="1">
        <v>2</v>
      </c>
      <c r="C29" s="2"/>
      <c r="D29" s="2"/>
      <c r="E29" s="2"/>
      <c r="G29" s="2" t="s">
        <v>24</v>
      </c>
      <c r="H29" s="2"/>
      <c r="I29" s="2"/>
      <c r="J29" s="16"/>
    </row>
    <row r="30" spans="1:10" x14ac:dyDescent="0.3">
      <c r="A30" s="17" t="s">
        <v>39</v>
      </c>
      <c r="B30" s="1">
        <v>1</v>
      </c>
      <c r="C30" s="2"/>
      <c r="D30" s="2"/>
      <c r="E30" s="2"/>
      <c r="G30" s="2" t="s">
        <v>24</v>
      </c>
      <c r="H30" s="2"/>
      <c r="I30" s="2"/>
      <c r="J30" s="16"/>
    </row>
    <row r="31" spans="1:10" x14ac:dyDescent="0.3">
      <c r="A31" s="17" t="s">
        <v>58</v>
      </c>
      <c r="B31" s="1">
        <v>2</v>
      </c>
      <c r="C31" s="2"/>
      <c r="D31" s="2"/>
      <c r="E31" s="2"/>
      <c r="G31" s="2" t="s">
        <v>24</v>
      </c>
      <c r="H31" s="2"/>
      <c r="I31" s="2"/>
      <c r="J31" s="16"/>
    </row>
    <row r="32" spans="1:10" x14ac:dyDescent="0.3">
      <c r="A32" s="18" t="s">
        <v>15</v>
      </c>
      <c r="B32" s="1"/>
      <c r="C32" s="2"/>
      <c r="D32" s="2"/>
      <c r="E32" s="2"/>
      <c r="F32" s="2"/>
      <c r="G32" s="2"/>
      <c r="H32" s="2"/>
      <c r="I32" s="2"/>
      <c r="J32" s="16"/>
    </row>
    <row r="33" spans="1:10" x14ac:dyDescent="0.3">
      <c r="A33" s="17" t="s">
        <v>44</v>
      </c>
      <c r="B33" s="1">
        <v>2</v>
      </c>
      <c r="C33" s="2"/>
      <c r="D33" s="2"/>
      <c r="E33" s="2"/>
      <c r="G33" s="2">
        <v>2</v>
      </c>
      <c r="H33" s="2"/>
      <c r="I33" s="2"/>
      <c r="J33" s="16"/>
    </row>
    <row r="34" spans="1:10" x14ac:dyDescent="0.3">
      <c r="A34" s="18" t="s">
        <v>16</v>
      </c>
      <c r="B34" s="1"/>
      <c r="C34" s="2"/>
      <c r="D34" s="2"/>
      <c r="E34" s="2"/>
      <c r="F34" s="2"/>
      <c r="G34" s="2"/>
      <c r="H34" s="2"/>
      <c r="I34" s="2"/>
      <c r="J34" s="16"/>
    </row>
    <row r="35" spans="1:10" x14ac:dyDescent="0.3">
      <c r="A35" s="17" t="s">
        <v>45</v>
      </c>
      <c r="B35" s="1">
        <v>2</v>
      </c>
      <c r="C35" s="2"/>
      <c r="D35" s="2"/>
      <c r="E35" s="2"/>
      <c r="G35" s="2">
        <v>2</v>
      </c>
      <c r="H35" s="2"/>
      <c r="J35" s="16"/>
    </row>
    <row r="36" spans="1:10" x14ac:dyDescent="0.3">
      <c r="A36" s="18" t="s">
        <v>17</v>
      </c>
      <c r="B36" s="1"/>
      <c r="C36" s="2"/>
      <c r="D36" s="2"/>
      <c r="E36" s="2"/>
      <c r="F36" s="2"/>
      <c r="G36" s="2"/>
      <c r="H36" s="2"/>
      <c r="I36" s="2"/>
      <c r="J36" s="16"/>
    </row>
    <row r="37" spans="1:10" x14ac:dyDescent="0.3">
      <c r="A37" s="17" t="s">
        <v>46</v>
      </c>
      <c r="B37" s="1">
        <v>2</v>
      </c>
      <c r="C37" s="2"/>
      <c r="D37" s="2"/>
      <c r="E37" s="2"/>
      <c r="G37" s="2">
        <v>2</v>
      </c>
      <c r="H37" s="2"/>
      <c r="J37" s="16"/>
    </row>
    <row r="38" spans="1:10" x14ac:dyDescent="0.3">
      <c r="A38" s="18" t="s">
        <v>61</v>
      </c>
      <c r="B38" s="1"/>
      <c r="C38" s="2"/>
      <c r="D38" s="2"/>
      <c r="E38" s="2"/>
      <c r="F38" s="2"/>
      <c r="G38" s="2"/>
      <c r="H38" s="2"/>
      <c r="I38" s="2"/>
      <c r="J38" s="16"/>
    </row>
    <row r="39" spans="1:10" x14ac:dyDescent="0.3">
      <c r="A39" s="17" t="s">
        <v>47</v>
      </c>
      <c r="B39" s="1">
        <v>2</v>
      </c>
      <c r="C39" s="2"/>
      <c r="D39" s="2"/>
      <c r="E39" s="2"/>
      <c r="G39" s="2"/>
      <c r="H39" s="2">
        <v>2</v>
      </c>
      <c r="J39" s="16"/>
    </row>
    <row r="40" spans="1:10" x14ac:dyDescent="0.3">
      <c r="A40" s="17" t="s">
        <v>63</v>
      </c>
      <c r="B40" s="1">
        <v>1</v>
      </c>
      <c r="C40" s="2"/>
      <c r="D40" s="2"/>
      <c r="E40" s="2"/>
      <c r="G40" s="2"/>
      <c r="H40" s="2">
        <v>1</v>
      </c>
      <c r="J40" s="16"/>
    </row>
    <row r="41" spans="1:10" x14ac:dyDescent="0.3">
      <c r="A41" s="18" t="s">
        <v>18</v>
      </c>
      <c r="B41" s="1"/>
      <c r="C41" s="2"/>
      <c r="D41" s="2"/>
      <c r="E41" s="2"/>
      <c r="F41" s="2"/>
      <c r="G41" s="2"/>
      <c r="H41" s="2"/>
      <c r="J41" s="16"/>
    </row>
    <row r="42" spans="1:10" x14ac:dyDescent="0.3">
      <c r="A42" s="17" t="s">
        <v>48</v>
      </c>
      <c r="B42" s="1">
        <v>2</v>
      </c>
      <c r="C42" s="2"/>
      <c r="D42" s="2"/>
      <c r="E42" s="2"/>
      <c r="G42" s="2"/>
      <c r="H42" s="2">
        <v>2</v>
      </c>
      <c r="J42" s="16"/>
    </row>
    <row r="43" spans="1:10" x14ac:dyDescent="0.3">
      <c r="A43" s="17" t="s">
        <v>63</v>
      </c>
      <c r="B43" s="1">
        <v>1</v>
      </c>
      <c r="C43" s="2"/>
      <c r="D43" s="2"/>
      <c r="E43" s="2"/>
      <c r="G43" s="2"/>
      <c r="H43" s="2">
        <v>1</v>
      </c>
      <c r="J43" s="16"/>
    </row>
    <row r="44" spans="1:10" x14ac:dyDescent="0.3">
      <c r="A44" s="18" t="s">
        <v>19</v>
      </c>
      <c r="B44" s="1"/>
      <c r="C44" s="2"/>
      <c r="D44" s="2"/>
      <c r="E44" s="2"/>
      <c r="F44" s="2"/>
      <c r="G44" s="2"/>
      <c r="H44" s="2"/>
      <c r="I44" s="2"/>
      <c r="J44" s="16"/>
    </row>
    <row r="45" spans="1:10" x14ac:dyDescent="0.3">
      <c r="A45" s="17" t="s">
        <v>49</v>
      </c>
      <c r="B45" s="1">
        <v>2</v>
      </c>
      <c r="C45" s="2"/>
      <c r="D45" s="2"/>
      <c r="E45" s="2"/>
      <c r="G45" s="2"/>
      <c r="H45" s="2"/>
      <c r="I45" s="2">
        <v>2</v>
      </c>
    </row>
    <row r="46" spans="1:10" x14ac:dyDescent="0.3">
      <c r="A46" s="17" t="s">
        <v>37</v>
      </c>
      <c r="B46" s="1">
        <v>2</v>
      </c>
      <c r="C46" s="2"/>
      <c r="D46" s="2"/>
      <c r="E46" s="2"/>
      <c r="G46" s="2"/>
      <c r="H46" s="2"/>
      <c r="I46" s="2">
        <v>2</v>
      </c>
    </row>
    <row r="47" spans="1:10" x14ac:dyDescent="0.3">
      <c r="A47" s="18" t="s">
        <v>20</v>
      </c>
      <c r="B47" s="1"/>
      <c r="C47" s="2"/>
      <c r="D47" s="2"/>
      <c r="E47" s="2"/>
      <c r="F47" s="2"/>
      <c r="G47" s="2"/>
      <c r="H47" s="2"/>
      <c r="I47" s="2"/>
      <c r="J47" s="16"/>
    </row>
    <row r="48" spans="1:10" x14ac:dyDescent="0.3">
      <c r="A48" s="17" t="s">
        <v>37</v>
      </c>
      <c r="B48" s="1">
        <v>2</v>
      </c>
      <c r="C48" s="2"/>
      <c r="D48" s="2"/>
      <c r="E48" s="2"/>
      <c r="G48" s="2"/>
      <c r="H48" s="2"/>
      <c r="I48" s="2">
        <v>2</v>
      </c>
    </row>
    <row r="49" spans="1:10" x14ac:dyDescent="0.3">
      <c r="A49" s="17" t="s">
        <v>50</v>
      </c>
      <c r="B49" s="1">
        <v>2</v>
      </c>
      <c r="C49" s="2"/>
      <c r="D49" s="2"/>
      <c r="E49" s="2"/>
      <c r="G49" s="2"/>
      <c r="H49" s="2"/>
      <c r="I49" s="2">
        <v>2</v>
      </c>
      <c r="J49" s="16"/>
    </row>
    <row r="50" spans="1:10" x14ac:dyDescent="0.3">
      <c r="A50" s="18" t="s">
        <v>62</v>
      </c>
      <c r="B50" s="1"/>
      <c r="C50" s="2"/>
      <c r="D50" s="2"/>
      <c r="E50" s="2"/>
      <c r="F50" s="2"/>
      <c r="G50" s="2"/>
      <c r="H50" s="2"/>
      <c r="I50" s="2"/>
      <c r="J50" s="16" t="s">
        <v>24</v>
      </c>
    </row>
    <row r="51" spans="1:10" x14ac:dyDescent="0.3">
      <c r="A51" s="17" t="s">
        <v>51</v>
      </c>
      <c r="B51" s="1">
        <v>2</v>
      </c>
      <c r="C51" s="2"/>
      <c r="D51" s="2"/>
      <c r="E51" s="2"/>
      <c r="F51" s="2"/>
      <c r="G51" s="2"/>
      <c r="H51" s="2"/>
      <c r="I51" s="2"/>
      <c r="J51" s="16"/>
    </row>
    <row r="52" spans="1:10" x14ac:dyDescent="0.3">
      <c r="A52" s="18" t="s">
        <v>34</v>
      </c>
      <c r="B52" s="1"/>
      <c r="C52" s="2"/>
      <c r="D52" s="2"/>
      <c r="E52" s="2"/>
      <c r="F52" s="2"/>
      <c r="G52" s="2"/>
      <c r="H52" s="2"/>
      <c r="I52" s="2"/>
      <c r="J52" s="16" t="s">
        <v>24</v>
      </c>
    </row>
    <row r="53" spans="1:10" ht="15" thickBot="1" x14ac:dyDescent="0.35">
      <c r="A53" s="17" t="s">
        <v>52</v>
      </c>
      <c r="B53" s="1">
        <v>2</v>
      </c>
      <c r="C53" s="2"/>
      <c r="D53" s="2"/>
      <c r="E53" s="2"/>
      <c r="F53" s="2"/>
      <c r="G53" s="2"/>
      <c r="H53" s="2"/>
      <c r="I53" s="2"/>
      <c r="J53" s="16"/>
    </row>
    <row r="54" spans="1:10" x14ac:dyDescent="0.3">
      <c r="A54" s="5" t="s">
        <v>3</v>
      </c>
      <c r="B54" s="6">
        <f>SUM(B3:B53)</f>
        <v>66</v>
      </c>
      <c r="C54" s="7">
        <f t="shared" ref="C54:J54" si="0">B$54-SUM(C3:C53)</f>
        <v>63</v>
      </c>
      <c r="D54" s="7">
        <f t="shared" si="0"/>
        <v>56</v>
      </c>
      <c r="E54" s="7">
        <f t="shared" si="0"/>
        <v>52</v>
      </c>
      <c r="F54" s="7">
        <f t="shared" si="0"/>
        <v>43</v>
      </c>
      <c r="G54" s="7">
        <f t="shared" si="0"/>
        <v>35</v>
      </c>
      <c r="H54" s="7">
        <f t="shared" si="0"/>
        <v>29</v>
      </c>
      <c r="I54" s="7">
        <f t="shared" si="0"/>
        <v>21</v>
      </c>
      <c r="J54" s="7">
        <f t="shared" si="0"/>
        <v>21</v>
      </c>
    </row>
    <row r="55" spans="1:10" ht="15" thickBot="1" x14ac:dyDescent="0.35">
      <c r="A55" s="8" t="s">
        <v>43</v>
      </c>
      <c r="B55" s="9">
        <f>B54</f>
        <v>66</v>
      </c>
      <c r="C55" s="10">
        <f t="shared" ref="C55:J55" si="1">B$55-$B$55/COUNTA($C$1:$J$1)</f>
        <v>57.75</v>
      </c>
      <c r="D55" s="10">
        <f t="shared" si="1"/>
        <v>49.5</v>
      </c>
      <c r="E55" s="10">
        <f t="shared" si="1"/>
        <v>41.25</v>
      </c>
      <c r="F55" s="10">
        <f t="shared" si="1"/>
        <v>33</v>
      </c>
      <c r="G55" s="10">
        <f t="shared" si="1"/>
        <v>24.75</v>
      </c>
      <c r="H55" s="10">
        <f t="shared" si="1"/>
        <v>16.5</v>
      </c>
      <c r="I55" s="10">
        <f t="shared" si="1"/>
        <v>8.25</v>
      </c>
      <c r="J55" s="10">
        <f t="shared" si="1"/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EB66B5F93AD54F88C68A8B3F2870BB" ma:contentTypeVersion="17" ma:contentTypeDescription="Een nieuw document maken." ma:contentTypeScope="" ma:versionID="8c2a24a36bb82fd1af5ed8c009a064aa">
  <xsd:schema xmlns:xsd="http://www.w3.org/2001/XMLSchema" xmlns:xs="http://www.w3.org/2001/XMLSchema" xmlns:p="http://schemas.microsoft.com/office/2006/metadata/properties" xmlns:ns2="2982a79d-ff19-4d7a-967e-033e92b0df6e" xmlns:ns3="b123560b-c09d-4726-86a8-96759d196851" targetNamespace="http://schemas.microsoft.com/office/2006/metadata/properties" ma:root="true" ma:fieldsID="c02a383944889dc160483fd1e510a099" ns2:_="" ns3:_="">
    <xsd:import namespace="2982a79d-ff19-4d7a-967e-033e92b0df6e"/>
    <xsd:import namespace="b123560b-c09d-4726-86a8-96759d196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2a79d-ff19-4d7a-967e-033e92b0d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3d7697a-60da-49c6-bb51-6bd510bea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3560b-c09d-4726-86a8-96759d196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1886e9-50e6-427e-bed0-639c6ff91d73}" ma:internalName="TaxCatchAll" ma:showField="CatchAllData" ma:web="b123560b-c09d-4726-86a8-96759d196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2C321F-7451-43AC-9409-3566FFDBBB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3F4124-1599-40F1-988E-E24419BF3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82a79d-ff19-4d7a-967e-033e92b0df6e"/>
    <ds:schemaRef ds:uri="b123560b-c09d-4726-86a8-96759d196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Wigmans</dc:creator>
  <cp:lastModifiedBy>Amani Loukrat</cp:lastModifiedBy>
  <dcterms:created xsi:type="dcterms:W3CDTF">2024-04-10T07:06:22Z</dcterms:created>
  <dcterms:modified xsi:type="dcterms:W3CDTF">2026-04-08T22:08:52Z</dcterms:modified>
</cp:coreProperties>
</file>